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atul60176_exlservice_com/Documents/"/>
    </mc:Choice>
  </mc:AlternateContent>
  <xr:revisionPtr revIDLastSave="81" documentId="13_ncr:1_{9BA48998-1C42-4D28-8472-5D5977BFD7FD}" xr6:coauthVersionLast="47" xr6:coauthVersionMax="47" xr10:uidLastSave="{A760840A-6F16-494F-8D69-03C8CFAA759E}"/>
  <bookViews>
    <workbookView xWindow="-110" yWindow="-110" windowWidth="19420" windowHeight="11500" firstSheet="1" xr2:uid="{4056F96B-BCDC-42F3-A3F4-D91E5C1EBB38}"/>
  </bookViews>
  <sheets>
    <sheet name="Tasks" sheetId="1" r:id="rId1"/>
    <sheet name="Framework" sheetId="2" r:id="rId2"/>
    <sheet name="Band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2" i="2"/>
</calcChain>
</file>

<file path=xl/sharedStrings.xml><?xml version="1.0" encoding="utf-8"?>
<sst xmlns="http://schemas.openxmlformats.org/spreadsheetml/2006/main" count="373" uniqueCount="227">
  <si>
    <t xml:space="preserve">Day </t>
  </si>
  <si>
    <t xml:space="preserve"> Resource </t>
  </si>
  <si>
    <t xml:space="preserve"> High-level task </t>
  </si>
  <si>
    <t>Status</t>
  </si>
  <si>
    <t xml:space="preserve"> Detailed activities </t>
  </si>
  <si>
    <t xml:space="preserve"> Deliverable / goal</t>
  </si>
  <si>
    <t xml:space="preserve">Day 1 </t>
  </si>
  <si>
    <t xml:space="preserve"> Ritu (Underwriting/domain) </t>
  </si>
  <si>
    <t xml:space="preserve"> Define underwriting scope &amp; packet template </t>
  </si>
  <si>
    <t xml:space="preserve"> Choose underwriting scenario (e.g., term life new business). Describe where in the existing underwriting workflow the decision packet will be used (initial review/triage). Independently design the decision packet structure: sections for case summary, key medical risk factors, non-medical factors, missing info list, risk flags, recommended action, and rationale. </t>
  </si>
  <si>
    <t xml:space="preserve"> One-page use-case description. Decision packet v1.0 template (Markdown/Word + JSON schema) stored in a shared folder.</t>
  </si>
  <si>
    <t xml:space="preserve"> Monica (Python/Claude workflow) </t>
  </si>
  <si>
    <t xml:space="preserve"> Sandbox project setup </t>
  </si>
  <si>
    <t>Completed</t>
  </si>
  <si>
    <t xml:space="preserve"> In the sandbox, create a Python project structure with folders for raw_docs, processed_text, packets, and config. Implement a simple script that scans case folders and logs available documents per case without needing business logic. Test one basic Claude call from Python to confirm connectivity. </t>
  </si>
  <si>
    <t xml:space="preserve"> Working repo in sandbox, minimal ingestion script, successful test call to Claude.</t>
  </si>
  <si>
    <t xml:space="preserve"> Salman (POC  coordinator/eval) </t>
  </si>
  <si>
    <t xml:space="preserve"> Evaluation design &amp; tracking sheet </t>
  </si>
  <si>
    <t xml:space="preserve"> Design evaluation criteria independently: coverage of key facts, correctness of risk flags, clarity of rationale, underwriting usefulness. Create an Excel sheet with columns for case ID, packet version, scores (1–5) per dimension, and free-text comments. You can assume any reasonable criteria; alignment can happen later but is not required to start. </t>
  </si>
  <si>
    <t xml:space="preserve"> Evaluation rubric and Excel scoring template created and saved.</t>
  </si>
  <si>
    <t xml:space="preserve">Day 2 </t>
  </si>
  <si>
    <t xml:space="preserve"> Ritu </t>
  </si>
  <si>
    <t xml:space="preserve"> Underwriting data-to-packet mapping </t>
  </si>
  <si>
    <t xml:space="preserve"> Review sample medical records and underwriting data. List which medical and non-medical attributes are important to underwriting (age, smoker status, diagnoses, labs, financials, occupation). Map these attributes to packet sections in a standalone document so that any technical workflow can later reference it without needing back-and-forth. </t>
  </si>
  <si>
    <t xml:space="preserve"> Field-to-packet mapping document (e.g., attribute → packet section → priority).</t>
  </si>
  <si>
    <t xml:space="preserve"> Monica </t>
  </si>
  <si>
    <t xml:space="preserve"> Ingestion &amp; text extraction pipeline </t>
  </si>
  <si>
    <t xml:space="preserve"> Build Python scripts to extract text from available medical records and underwriting docs (PDF/Word/text). Tag each chunk with case ID and document type (application, APS, labs, etc.). Produce a consolidated case_bundle JSON/dict per case. This can be done without waiting for underwriting rules; focus only on technical ingestion. </t>
  </si>
  <si>
    <t xml:space="preserve"> Script that returns a structured case_bundle for a given case ID and stores bundles in processed_text/.</t>
  </si>
  <si>
    <t xml:space="preserve"> Salman </t>
  </si>
  <si>
    <t xml:space="preserve"> Select golden cases for evaluation </t>
  </si>
  <si>
    <t xml:space="preserve"> Independently scan available data and pick 5–10 cases with varying complexity (simple, medium, complex). For each case, add a short textual note in Excel: “Expected decision type (e.g., Standard/Preferred/Postpone)” and a few key risk drivers as you understand them. You don’t need perfect underwriting accuracy; these are baseline expectations. </t>
  </si>
  <si>
    <t xml:space="preserve"> List of golden cases with baseline notes in the evaluation sheet.</t>
  </si>
  <si>
    <t xml:space="preserve">Day 3 </t>
  </si>
  <si>
    <t xml:space="preserve"> Create underwriting examples for ideal packets </t>
  </si>
  <si>
    <t xml:space="preserve"> For 3–4 selected cases, manually write short “ideal” decision packet content: key facts list, missing info list, and a concise rationale paragraph. Work purely in Word/Markdown or Excel; no need to know the exact Claude prompt. These examples will later be used for tuning but you can produce them independently. </t>
  </si>
  <si>
    <t xml:space="preserve"> Example packets for 3–4 cases (ideal manual versions) stored as documents.</t>
  </si>
  <si>
    <t xml:space="preserve"> Design Claude prompts for extraction </t>
  </si>
  <si>
    <t xml:space="preserve"> Using the case_bundle structure, design a Claude prompt that outputs JSON: key fields, missing information, risk flags. You can assume generic risk concepts (e.g., chronic conditions, lab abnormalities) using your own judgment or public underwriting notions. Implement a Python function extract_case_features(case_bundle) that calls Claude and parses the result. No need to wait for Resource A’s exact rules; keep prompts generic but structured. </t>
  </si>
  <si>
    <t xml:space="preserve"> Extraction prompt v1 and working Python function returning structured features.</t>
  </si>
  <si>
    <t xml:space="preserve"> Salman</t>
  </si>
  <si>
    <t xml:space="preserve"> Design Claude prompts for summarization &amp; rationale </t>
  </si>
  <si>
    <t xml:space="preserve"> Create a second prompt that generates a case summary, list of highlighted risk factors, missing info, and a draft recommended action with a confidence indicator. Ensure it follows a fixed section structure consistent with packet v1.0, but you can assume a reasonable structure yourself. Implement generate_decision_narrative(extracted_features, case_bundle). </t>
  </si>
  <si>
    <t xml:space="preserve"> Narrative prompt v1 and Python function producing summary + rationale text sections.</t>
  </si>
  <si>
    <t xml:space="preserve"> Versioning and logging design </t>
  </si>
  <si>
    <t xml:space="preserve"> Define a simple versioning scheme for packets: caseID_packet_v1, v2, etc. Decide on a logging format (CSV or small DB) capturing case ID, prompt version, timestamp, and evaluator name. Set up an initial log file or table in Excel; you don’t need code integration yet. </t>
  </si>
  <si>
    <t xml:space="preserve"> Versioning scheme document and initial log template.</t>
  </si>
  <si>
    <t xml:space="preserve">Day 4 </t>
  </si>
  <si>
    <t xml:space="preserve"> Independent review of first AI packets </t>
  </si>
  <si>
    <t xml:space="preserve"> Once Resource B has generated a few packets, review them and annotate issues: missing critical facts, misinterpreted details, unclear rationale. You can do this offline in Word/Excel, marking each section with comments and desired improvements. This review doesn’t require changes in code; focus on underwriting quality. </t>
  </si>
  <si>
    <t xml:space="preserve"> Annotated packets for at least 5 cases, with comments per section.</t>
  </si>
  <si>
    <t xml:space="preserve"> End-to-end packet assembly </t>
  </si>
  <si>
    <t xml:space="preserve"> Integrate extraction and narrative outputs into a single packet object that matches the template (or your own assumed template). Create a function generate_packet(case_id) that runs ingestion, Claude extraction, and narrative generation, then returns structured data and a human-readable report (Markdown or HTML). </t>
  </si>
  <si>
    <t xml:space="preserve"> Working end-to-end function that produces packets for multiple cases and saves them to packets/.</t>
  </si>
  <si>
    <t xml:space="preserve"> Minimal UI or report view </t>
  </si>
  <si>
    <t xml:space="preserve"> Build a simple way to view packets: either a basic web UI (Flask/Streamlit) or HTML/Markdown reports opened in a browser or viewer. UI only needs navigation by case ID and section headings; no complex interactivity. </t>
  </si>
  <si>
    <t xml:space="preserve"> Minimal interface or report format to display full packets.</t>
  </si>
  <si>
    <t xml:space="preserve"> Initial evaluation run </t>
  </si>
  <si>
    <t xml:space="preserve"> Using the evaluation sheet, independently score AI-generated packets for the golden cases. Rate coverage, correctness, clarity, and usefulness on your 1–5 scale. Add qualitative comments for each case, without needing to coordinate edits with A or B. </t>
  </si>
  <si>
    <t xml:space="preserve"> Evaluation scores and comments for at least 5–10 packets in Excel.</t>
  </si>
  <si>
    <t xml:space="preserve">Day 5 </t>
  </si>
  <si>
    <t xml:space="preserve"> Underwriting guidance refinement </t>
  </si>
  <si>
    <t xml:space="preserve"> Based on your earlier annotations, produce a standalone “underwriting guidance for AI” document: which factors are must-have, which phrasing is preferred, and what typical decisions look like by risk pattern. This can be written without direct changes to prompts—just a document B can later consume. </t>
  </si>
  <si>
    <t xml:space="preserve"> Refined underwriting guidance doc for AI packets.</t>
  </si>
  <si>
    <t xml:space="preserve"> Prompt tuning iteration </t>
  </si>
  <si>
    <t xml:space="preserve"> Independently refine prompts by: emphasizing critical fields, requiring evidence-backed statements, and reducing overconfident language. Use your own analysis of packet failures plus generic underwriting knowledge. Regenerate packets for golden cases and store them as v2. </t>
  </si>
  <si>
    <t xml:space="preserve"> Updated prompts (v2) and regenerated packets (v2) for golden cases.</t>
  </si>
  <si>
    <t xml:space="preserve"> Before/after comparison in Excel </t>
  </si>
  <si>
    <t xml:space="preserve"> Compare v1 and v2 packets using the evaluation sheet. Add side-by-side scores and compute simple deltas (e.g., average coverage improvement). Create any charts (bar, line) in Excel to visualize improvement; this can be done without further input from A or B. </t>
  </si>
  <si>
    <t xml:space="preserve"> Updated evaluation sheet with v1 vs v2 metrics and charts.</t>
  </si>
  <si>
    <t xml:space="preserve">Day 6 </t>
  </si>
  <si>
    <t xml:space="preserve"> Demo storyline from underwriter perspective </t>
  </si>
  <si>
    <t xml:space="preserve"> Write a narrative describing the current underwriting workflow, pain points, and how the decision packet POC improves speed and consistency. Prepare a script for walking through one hero case during the demo (before: manual review; after: AI packet + human decision). This can be done based on your own view plus sample packets, without deep tech details. </t>
  </si>
  <si>
    <t xml:space="preserve"> Demo script and talking points focused on underwriter experience.</t>
  </si>
  <si>
    <t xml:space="preserve"> Code stabilization and runbook </t>
  </si>
  <si>
    <t xml:space="preserve"> Clean up code, add basic error handling and configuration (e.g., prompt version switches, case list). Write a short runbook describing how to run generate_packet for demo cases and how to refresh packets if needed. No need for editorial input from A/C—focus on making the tech easy to operate. </t>
  </si>
  <si>
    <t xml:space="preserve"> Stable POC codebase and runbook document.</t>
  </si>
  <si>
    <t xml:space="preserve"> Slide deck and Excel artifacts </t>
  </si>
  <si>
    <t xml:space="preserve"> Build a slide deck with: problem statement, solution overview, architecture diagram, screenshots of packets, and evaluation metrics. Use your Excel charts and tables to show quality improvements and potential business impact (e.g., time saved, consistency). </t>
  </si>
  <si>
    <t xml:space="preserve"> Completed demo deck and supporting Excel file with metrics and visuals.</t>
  </si>
  <si>
    <t xml:space="preserve">Day 7 </t>
  </si>
  <si>
    <t xml:space="preserve"> Final content polish </t>
  </si>
  <si>
    <t xml:space="preserve"> Review demo slides and hero packets for underwriting accuracy and clarity of narrative. Suggest minor edits (phrasing, emphasis) that you can apply yourself to the slides and script. </t>
  </si>
  <si>
    <t xml:space="preserve"> Polished underwriting narrative in deck and script.</t>
  </si>
  <si>
    <t xml:space="preserve"> Demo environment validation </t>
  </si>
  <si>
    <t xml:space="preserve"> Run end-to-end tests for chosen demo cases: ingestion, Claude calls, packet generation, UI display. Fix minor issues (paths, configuration) as needed. Confirm the runbook matches actual steps. </t>
  </si>
  <si>
    <t xml:space="preserve"> Validated demo environment ready for live run.</t>
  </si>
  <si>
    <t xml:space="preserve"> Full demo rehearsal notes </t>
  </si>
  <si>
    <t xml:space="preserve"> Conduct at least one rehearsal (even alone), timing the flow and noting any confusing transitions. Document final sequence of steps and who speaks when (if presenting as a team). Adjust slides order or emphasis based on rehearsal notes. </t>
  </si>
  <si>
    <t xml:space="preserve"> Demo rehearsal notes and final presentation sequence.</t>
  </si>
  <si>
    <t>Factor</t>
  </si>
  <si>
    <t>Condition / band</t>
  </si>
  <si>
    <t>Raw score</t>
  </si>
  <si>
    <t>Weight</t>
  </si>
  <si>
    <t>Weighted contribution
(Raw Score * Weight)</t>
  </si>
  <si>
    <t>Interpretation</t>
  </si>
  <si>
    <t>Age</t>
  </si>
  <si>
    <t>Best-fit age band for product (20-30)</t>
  </si>
  <si>
    <t>Most favorable age band</t>
  </si>
  <si>
    <t>Slightly outside best-fit band (35-45)</t>
  </si>
  <si>
    <t>Mildly adverse</t>
  </si>
  <si>
    <t>Moderately adverse band (45-55)</t>
  </si>
  <si>
    <t>Requires closer review</t>
  </si>
  <si>
    <t>Strongly adverse band (55-60)</t>
  </si>
  <si>
    <t>Materially adverse</t>
  </si>
  <si>
    <t>Tobacco use</t>
  </si>
  <si>
    <t>Never smoker / no nicotine</t>
  </si>
  <si>
    <t>Best outcome</t>
  </si>
  <si>
    <t>Former smoker, remote quit</t>
  </si>
  <si>
    <t>Mild adverse effect</t>
  </si>
  <si>
    <t>Former smoker, recent quit</t>
  </si>
  <si>
    <t>Moderate adverse effect</t>
  </si>
  <si>
    <t>Current smoker / nicotine user</t>
  </si>
  <si>
    <t>Strong adverse factor</t>
  </si>
  <si>
    <t>BMI / build</t>
  </si>
  <si>
    <t>Preferred range</t>
  </si>
  <si>
    <t>No concern</t>
  </si>
  <si>
    <t>Mildly outside preferred</t>
  </si>
  <si>
    <t>Small increase in risk</t>
  </si>
  <si>
    <t>Moderately outside preferred</t>
  </si>
  <si>
    <t>Meaningful concern</t>
  </si>
  <si>
    <t>Severely outside preferred</t>
  </si>
  <si>
    <t>Strong concern</t>
  </si>
  <si>
    <t>Blood pressure</t>
  </si>
  <si>
    <t>Normal / controlled</t>
  </si>
  <si>
    <t>Mildly elevated but controlled</t>
  </si>
  <si>
    <t>Minor issue</t>
  </si>
  <si>
    <t>Repeated elevated readings / moderate control issues</t>
  </si>
  <si>
    <t>Needs review</t>
  </si>
  <si>
    <t>Uncontrolled / severe</t>
  </si>
  <si>
    <t>Major concern</t>
  </si>
  <si>
    <t>Diabetes</t>
  </si>
  <si>
    <t>None</t>
  </si>
  <si>
    <t>Diet controlled / mild</t>
  </si>
  <si>
    <t>Mild concern</t>
  </si>
  <si>
    <t>Oral meds, stable</t>
  </si>
  <si>
    <t>Moderate concern</t>
  </si>
  <si>
    <t>Insulin-dependent or poorly controlled</t>
  </si>
  <si>
    <t>Heart disease</t>
  </si>
  <si>
    <t>Minor history, stable</t>
  </si>
  <si>
    <t>Established disease, stable</t>
  </si>
  <si>
    <t>Recent event / significant disease</t>
  </si>
  <si>
    <t>Cancer history</t>
  </si>
  <si>
    <t>Remote history, in remission</t>
  </si>
  <si>
    <t>Recent treatment completed</t>
  </si>
  <si>
    <t>Active / recurrent / metastatic</t>
  </si>
  <si>
    <t>Respiratory disease</t>
  </si>
  <si>
    <t>Mild, controlled asthma</t>
  </si>
  <si>
    <t>Minor concern</t>
  </si>
  <si>
    <t>Moderate COPD/asthma/sleep apnea</t>
  </si>
  <si>
    <t>Severe or oxygen-dependent</t>
  </si>
  <si>
    <t>Kidney/liver disease</t>
  </si>
  <si>
    <t>Mild abnormality, stable</t>
  </si>
  <si>
    <t>Chronic stable disease</t>
  </si>
  <si>
    <t>Advanced / progressive disease</t>
  </si>
  <si>
    <t>Mental health / substance use</t>
  </si>
  <si>
    <t>Remote, stable history</t>
  </si>
  <si>
    <t>Recent treatment or unstable</t>
  </si>
  <si>
    <t>Recent hospitalization / active issue</t>
  </si>
  <si>
    <t>Medications</t>
  </si>
  <si>
    <t>Few routine meds</t>
  </si>
  <si>
    <t>Low concern</t>
  </si>
  <si>
    <t>Multiple chronic meds</t>
  </si>
  <si>
    <t>Mild supporting signal</t>
  </si>
  <si>
    <t>Several high-risk meds / complex regimen</t>
  </si>
  <si>
    <t>Moderate supporting signal</t>
  </si>
  <si>
    <t>Very heavy regimen with complications</t>
  </si>
  <si>
    <t>Strong supporting signal</t>
  </si>
  <si>
    <t>Lab abnormalities</t>
  </si>
  <si>
    <t>Normal labs</t>
  </si>
  <si>
    <t>Mild outlier</t>
  </si>
  <si>
    <t>Moderate abnormality</t>
  </si>
  <si>
    <t>Severe abnormality</t>
  </si>
  <si>
    <t>Recent hospitalization</t>
  </si>
  <si>
    <t>Older hospitalization, resolved</t>
  </si>
  <si>
    <t>Recent, but minor issue</t>
  </si>
  <si>
    <t>Recent and serious</t>
  </si>
  <si>
    <t>Family history</t>
  </si>
  <si>
    <t>None or irrelevant</t>
  </si>
  <si>
    <t>Some relevant history</t>
  </si>
  <si>
    <t>Strong early family history</t>
  </si>
  <si>
    <t>Strong hereditary pattern</t>
  </si>
  <si>
    <t>Occupation / avocation</t>
  </si>
  <si>
    <t>Low hazard</t>
  </si>
  <si>
    <t>Mild hazard</t>
  </si>
  <si>
    <t>Moderate hazard</t>
  </si>
  <si>
    <t>High hazard</t>
  </si>
  <si>
    <t>Driving record</t>
  </si>
  <si>
    <t>Clean</t>
  </si>
  <si>
    <t>Minor violations only</t>
  </si>
  <si>
    <t>Repeated violations / recent issue</t>
  </si>
  <si>
    <t>DUI / severe pattern</t>
  </si>
  <si>
    <t>Financial / application consistency</t>
  </si>
  <si>
    <t>Fully consistent</t>
  </si>
  <si>
    <t>Minor discrepancy</t>
  </si>
  <si>
    <t>Noticeable inconsistency</t>
  </si>
  <si>
    <t>Important concern</t>
  </si>
  <si>
    <t>Material under-disclosure / contradiction</t>
  </si>
  <si>
    <t>APS completeness</t>
  </si>
  <si>
    <t>Complete APS</t>
  </si>
  <si>
    <t>Small missing section</t>
  </si>
  <si>
    <t>Mild uncertainty</t>
  </si>
  <si>
    <t>Several missing details</t>
  </si>
  <si>
    <t>Moderate uncertainty</t>
  </si>
  <si>
    <t>Missing / unusable APS</t>
  </si>
  <si>
    <t>Major uncertainty</t>
  </si>
  <si>
    <t>Multiple comorbidities</t>
  </si>
  <si>
    <t>None / isolated issue</t>
  </si>
  <si>
    <t>Two mild conditions</t>
  </si>
  <si>
    <t>Mild increase</t>
  </si>
  <si>
    <t>Several meaningful conditions</t>
  </si>
  <si>
    <t>Moderate increase</t>
  </si>
  <si>
    <t>Several serious conditions</t>
  </si>
  <si>
    <t>Major increase</t>
  </si>
  <si>
    <t>Min total score</t>
  </si>
  <si>
    <t>Max total score</t>
  </si>
  <si>
    <t>Risk band</t>
  </si>
  <si>
    <t>Suggested underwriting action</t>
  </si>
  <si>
    <t>Low</t>
  </si>
  <si>
    <t>Likely standard / preferred, subject to normal checks.</t>
  </si>
  <si>
    <t>Medium</t>
  </si>
  <si>
    <t>Review needed, may require more evidence or clarification.</t>
  </si>
  <si>
    <t>High</t>
  </si>
  <si>
    <t>Elevated risk, likely table rating / postponement / decline depending on rules.</t>
  </si>
  <si>
    <t>37+</t>
  </si>
  <si>
    <t>Very high</t>
  </si>
  <si>
    <t>Strong adverse risk; likely manual escalation or decline under many guidelines.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</si>
</sst>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/>
    <xf numFmtId="0" fontId="3" fillId="6" borderId="2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9728-18EA-45DE-B448-F28AA2161795}">
  <dimension ref="A1:F24"/>
  <sheetViews>
    <sheetView tabSelected="1" topLeftCell="A3" zoomScale="70" zoomScaleNormal="70" workbookViewId="0">
      <selection activeCell="D7" sqref="D7"/>
    </sheetView>
  </sheetViews>
  <sheetFormatPr defaultRowHeight="14.45"/>
  <cols>
    <col min="1" max="1" width="5.5703125" style="1" bestFit="1" customWidth="1"/>
    <col min="2" max="2" width="24.28515625" style="1" bestFit="1" customWidth="1"/>
    <col min="3" max="3" width="44.28515625" style="1" customWidth="1"/>
    <col min="4" max="4" width="16.85546875" customWidth="1"/>
    <col min="5" max="5" width="132.42578125" style="1" customWidth="1"/>
    <col min="6" max="6" width="101.42578125" style="2" bestFit="1" customWidth="1"/>
  </cols>
  <sheetData>
    <row r="1" spans="1:6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</row>
    <row r="2" spans="1:6" ht="43.5">
      <c r="A2" s="6" t="s">
        <v>6</v>
      </c>
      <c r="B2" s="6" t="s">
        <v>7</v>
      </c>
      <c r="C2" s="6" t="s">
        <v>8</v>
      </c>
      <c r="D2" s="7"/>
      <c r="E2" s="8" t="s">
        <v>9</v>
      </c>
      <c r="F2" s="9" t="s">
        <v>10</v>
      </c>
    </row>
    <row r="3" spans="1:6" ht="29.1">
      <c r="A3" s="6" t="s">
        <v>6</v>
      </c>
      <c r="B3" s="6" t="s">
        <v>11</v>
      </c>
      <c r="C3" s="6" t="s">
        <v>12</v>
      </c>
      <c r="D3" s="7" t="s">
        <v>13</v>
      </c>
      <c r="E3" s="8" t="s">
        <v>14</v>
      </c>
      <c r="F3" s="9" t="s">
        <v>15</v>
      </c>
    </row>
    <row r="4" spans="1:6" ht="43.5">
      <c r="A4" s="6" t="s">
        <v>6</v>
      </c>
      <c r="B4" s="6" t="s">
        <v>16</v>
      </c>
      <c r="C4" s="6" t="s">
        <v>17</v>
      </c>
      <c r="D4" s="7" t="s">
        <v>13</v>
      </c>
      <c r="E4" s="8" t="s">
        <v>18</v>
      </c>
      <c r="F4" s="9" t="s">
        <v>19</v>
      </c>
    </row>
    <row r="5" spans="1:6" ht="43.5">
      <c r="A5" s="6" t="s">
        <v>20</v>
      </c>
      <c r="B5" s="6" t="s">
        <v>21</v>
      </c>
      <c r="C5" s="6" t="s">
        <v>22</v>
      </c>
      <c r="D5" s="7"/>
      <c r="E5" s="8" t="s">
        <v>23</v>
      </c>
      <c r="F5" s="9" t="s">
        <v>24</v>
      </c>
    </row>
    <row r="6" spans="1:6" ht="43.5">
      <c r="A6" s="6" t="s">
        <v>20</v>
      </c>
      <c r="B6" s="6" t="s">
        <v>25</v>
      </c>
      <c r="C6" s="6" t="s">
        <v>26</v>
      </c>
      <c r="D6" s="7" t="s">
        <v>13</v>
      </c>
      <c r="E6" s="8" t="s">
        <v>27</v>
      </c>
      <c r="F6" s="9" t="s">
        <v>28</v>
      </c>
    </row>
    <row r="7" spans="1:6" ht="43.5">
      <c r="A7" s="6" t="s">
        <v>20</v>
      </c>
      <c r="B7" s="6" t="s">
        <v>29</v>
      </c>
      <c r="C7" s="6" t="s">
        <v>30</v>
      </c>
      <c r="D7" s="7" t="s">
        <v>13</v>
      </c>
      <c r="E7" s="8" t="s">
        <v>31</v>
      </c>
      <c r="F7" s="9" t="s">
        <v>32</v>
      </c>
    </row>
    <row r="8" spans="1:6" ht="29.1">
      <c r="A8" s="6" t="s">
        <v>33</v>
      </c>
      <c r="B8" s="6" t="s">
        <v>21</v>
      </c>
      <c r="C8" s="6" t="s">
        <v>34</v>
      </c>
      <c r="D8" s="7"/>
      <c r="E8" s="8" t="s">
        <v>35</v>
      </c>
      <c r="F8" s="9" t="s">
        <v>36</v>
      </c>
    </row>
    <row r="9" spans="1:6" ht="43.5">
      <c r="A9" s="6" t="s">
        <v>33</v>
      </c>
      <c r="B9" s="6" t="s">
        <v>25</v>
      </c>
      <c r="C9" s="6" t="s">
        <v>37</v>
      </c>
      <c r="D9" s="7" t="s">
        <v>13</v>
      </c>
      <c r="E9" s="8" t="s">
        <v>38</v>
      </c>
      <c r="F9" s="9" t="s">
        <v>39</v>
      </c>
    </row>
    <row r="10" spans="1:6" ht="43.5">
      <c r="A10" s="6" t="s">
        <v>33</v>
      </c>
      <c r="B10" s="6" t="s">
        <v>40</v>
      </c>
      <c r="C10" s="6" t="s">
        <v>41</v>
      </c>
      <c r="D10" s="7"/>
      <c r="E10" s="8" t="s">
        <v>42</v>
      </c>
      <c r="F10" s="9" t="s">
        <v>43</v>
      </c>
    </row>
    <row r="11" spans="1:6" ht="29.1">
      <c r="A11" s="6" t="s">
        <v>33</v>
      </c>
      <c r="B11" s="6" t="s">
        <v>29</v>
      </c>
      <c r="C11" s="6" t="s">
        <v>44</v>
      </c>
      <c r="D11" s="7"/>
      <c r="E11" s="8" t="s">
        <v>45</v>
      </c>
      <c r="F11" s="9" t="s">
        <v>46</v>
      </c>
    </row>
    <row r="12" spans="1:6" ht="29.1">
      <c r="A12" s="6" t="s">
        <v>47</v>
      </c>
      <c r="B12" s="6" t="s">
        <v>21</v>
      </c>
      <c r="C12" s="6" t="s">
        <v>48</v>
      </c>
      <c r="D12" s="7"/>
      <c r="E12" s="8" t="s">
        <v>49</v>
      </c>
      <c r="F12" s="9" t="s">
        <v>50</v>
      </c>
    </row>
    <row r="13" spans="1:6" ht="43.5">
      <c r="A13" s="6" t="s">
        <v>47</v>
      </c>
      <c r="B13" s="6" t="s">
        <v>25</v>
      </c>
      <c r="C13" s="6" t="s">
        <v>51</v>
      </c>
      <c r="D13" s="7"/>
      <c r="E13" s="8" t="s">
        <v>52</v>
      </c>
      <c r="F13" s="9" t="s">
        <v>53</v>
      </c>
    </row>
    <row r="14" spans="1:6" ht="29.1">
      <c r="A14" s="6" t="s">
        <v>47</v>
      </c>
      <c r="B14" s="6" t="s">
        <v>25</v>
      </c>
      <c r="C14" s="6" t="s">
        <v>54</v>
      </c>
      <c r="D14" s="7"/>
      <c r="E14" s="8" t="s">
        <v>55</v>
      </c>
      <c r="F14" s="9" t="s">
        <v>56</v>
      </c>
    </row>
    <row r="15" spans="1:6" ht="29.1">
      <c r="A15" s="6" t="s">
        <v>47</v>
      </c>
      <c r="B15" s="6" t="s">
        <v>29</v>
      </c>
      <c r="C15" s="6" t="s">
        <v>57</v>
      </c>
      <c r="D15" s="7"/>
      <c r="E15" s="8" t="s">
        <v>58</v>
      </c>
      <c r="F15" s="9" t="s">
        <v>59</v>
      </c>
    </row>
    <row r="16" spans="1:6" ht="29.1">
      <c r="A16" s="6" t="s">
        <v>60</v>
      </c>
      <c r="B16" s="6" t="s">
        <v>21</v>
      </c>
      <c r="C16" s="6" t="s">
        <v>61</v>
      </c>
      <c r="D16" s="7"/>
      <c r="E16" s="8" t="s">
        <v>62</v>
      </c>
      <c r="F16" s="9" t="s">
        <v>63</v>
      </c>
    </row>
    <row r="17" spans="1:6" ht="29.1">
      <c r="A17" s="6" t="s">
        <v>60</v>
      </c>
      <c r="B17" s="6" t="s">
        <v>25</v>
      </c>
      <c r="C17" s="6" t="s">
        <v>64</v>
      </c>
      <c r="D17" s="7"/>
      <c r="E17" s="8" t="s">
        <v>65</v>
      </c>
      <c r="F17" s="9" t="s">
        <v>66</v>
      </c>
    </row>
    <row r="18" spans="1:6" ht="29.1">
      <c r="A18" s="6" t="s">
        <v>60</v>
      </c>
      <c r="B18" s="6" t="s">
        <v>29</v>
      </c>
      <c r="C18" s="6" t="s">
        <v>67</v>
      </c>
      <c r="D18" s="7"/>
      <c r="E18" s="8" t="s">
        <v>68</v>
      </c>
      <c r="F18" s="9" t="s">
        <v>69</v>
      </c>
    </row>
    <row r="19" spans="1:6" ht="43.5">
      <c r="A19" s="6" t="s">
        <v>70</v>
      </c>
      <c r="B19" s="6" t="s">
        <v>21</v>
      </c>
      <c r="C19" s="6" t="s">
        <v>71</v>
      </c>
      <c r="D19" s="7"/>
      <c r="E19" s="8" t="s">
        <v>72</v>
      </c>
      <c r="F19" s="9" t="s">
        <v>73</v>
      </c>
    </row>
    <row r="20" spans="1:6" ht="29.1">
      <c r="A20" s="6" t="s">
        <v>70</v>
      </c>
      <c r="B20" s="6" t="s">
        <v>25</v>
      </c>
      <c r="C20" s="6" t="s">
        <v>74</v>
      </c>
      <c r="D20" s="7"/>
      <c r="E20" s="8" t="s">
        <v>75</v>
      </c>
      <c r="F20" s="9" t="s">
        <v>76</v>
      </c>
    </row>
    <row r="21" spans="1:6" ht="29.1">
      <c r="A21" s="6" t="s">
        <v>70</v>
      </c>
      <c r="B21" s="6" t="s">
        <v>29</v>
      </c>
      <c r="C21" s="6" t="s">
        <v>77</v>
      </c>
      <c r="D21" s="7"/>
      <c r="E21" s="8" t="s">
        <v>78</v>
      </c>
      <c r="F21" s="9" t="s">
        <v>79</v>
      </c>
    </row>
    <row r="22" spans="1:6" ht="29.1">
      <c r="A22" s="6" t="s">
        <v>80</v>
      </c>
      <c r="B22" s="6" t="s">
        <v>21</v>
      </c>
      <c r="C22" s="6" t="s">
        <v>81</v>
      </c>
      <c r="D22" s="7"/>
      <c r="E22" s="8" t="s">
        <v>82</v>
      </c>
      <c r="F22" s="9" t="s">
        <v>83</v>
      </c>
    </row>
    <row r="23" spans="1:6" ht="29.1">
      <c r="A23" s="6" t="s">
        <v>80</v>
      </c>
      <c r="B23" s="6" t="s">
        <v>25</v>
      </c>
      <c r="C23" s="6" t="s">
        <v>84</v>
      </c>
      <c r="D23" s="7"/>
      <c r="E23" s="8" t="s">
        <v>85</v>
      </c>
      <c r="F23" s="9" t="s">
        <v>86</v>
      </c>
    </row>
    <row r="24" spans="1:6" ht="29.1">
      <c r="A24" s="6" t="s">
        <v>80</v>
      </c>
      <c r="B24" s="6" t="s">
        <v>29</v>
      </c>
      <c r="C24" s="6" t="s">
        <v>87</v>
      </c>
      <c r="D24" s="7"/>
      <c r="E24" s="8" t="s">
        <v>88</v>
      </c>
      <c r="F24" s="9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F8C9-E3C1-4A1E-8E3A-4DD1B4C466F5}">
  <dimension ref="A1:H77"/>
  <sheetViews>
    <sheetView zoomScale="70" zoomScaleNormal="70" workbookViewId="0">
      <selection activeCell="F16" sqref="F16"/>
    </sheetView>
  </sheetViews>
  <sheetFormatPr defaultColWidth="8.7109375" defaultRowHeight="14.45"/>
  <cols>
    <col min="1" max="1" width="30.7109375" bestFit="1" customWidth="1"/>
    <col min="2" max="2" width="48.5703125" bestFit="1" customWidth="1"/>
    <col min="3" max="3" width="11.85546875" style="15" customWidth="1"/>
    <col min="4" max="4" width="10" style="15" customWidth="1"/>
    <col min="5" max="5" width="25.140625" style="15" customWidth="1"/>
    <col min="6" max="6" width="33.28515625" customWidth="1"/>
  </cols>
  <sheetData>
    <row r="1" spans="1:6" ht="35.1" customHeight="1" thickBot="1">
      <c r="A1" s="13" t="s">
        <v>90</v>
      </c>
      <c r="B1" s="13" t="s">
        <v>91</v>
      </c>
      <c r="C1" s="14" t="s">
        <v>92</v>
      </c>
      <c r="D1" s="14" t="s">
        <v>93</v>
      </c>
      <c r="E1" s="16" t="s">
        <v>94</v>
      </c>
      <c r="F1" s="13" t="s">
        <v>95</v>
      </c>
    </row>
    <row r="2" spans="1:6" ht="15" thickBot="1">
      <c r="A2" s="11" t="s">
        <v>96</v>
      </c>
      <c r="B2" s="11" t="s">
        <v>97</v>
      </c>
      <c r="C2" s="12">
        <v>0</v>
      </c>
      <c r="D2" s="12">
        <v>2</v>
      </c>
      <c r="E2" s="18">
        <f>C2*D2</f>
        <v>0</v>
      </c>
      <c r="F2" s="11" t="s">
        <v>98</v>
      </c>
    </row>
    <row r="3" spans="1:6" ht="15" thickBot="1">
      <c r="A3" s="11" t="s">
        <v>96</v>
      </c>
      <c r="B3" s="11" t="s">
        <v>99</v>
      </c>
      <c r="C3" s="12">
        <v>1</v>
      </c>
      <c r="D3" s="12">
        <v>2</v>
      </c>
      <c r="E3" s="18">
        <f t="shared" ref="E3:E66" si="0">C3*D3</f>
        <v>2</v>
      </c>
      <c r="F3" s="11" t="s">
        <v>100</v>
      </c>
    </row>
    <row r="4" spans="1:6" ht="15" thickBot="1">
      <c r="A4" s="11" t="s">
        <v>96</v>
      </c>
      <c r="B4" s="11" t="s">
        <v>101</v>
      </c>
      <c r="C4" s="12">
        <v>2</v>
      </c>
      <c r="D4" s="12">
        <v>2</v>
      </c>
      <c r="E4" s="18">
        <f t="shared" si="0"/>
        <v>4</v>
      </c>
      <c r="F4" s="11" t="s">
        <v>102</v>
      </c>
    </row>
    <row r="5" spans="1:6" ht="15" thickBot="1">
      <c r="A5" s="11" t="s">
        <v>96</v>
      </c>
      <c r="B5" s="11" t="s">
        <v>103</v>
      </c>
      <c r="C5" s="12">
        <v>3</v>
      </c>
      <c r="D5" s="12">
        <v>2</v>
      </c>
      <c r="E5" s="18">
        <f t="shared" si="0"/>
        <v>6</v>
      </c>
      <c r="F5" s="11" t="s">
        <v>104</v>
      </c>
    </row>
    <row r="6" spans="1:6" ht="15" thickBot="1">
      <c r="A6" s="11" t="s">
        <v>105</v>
      </c>
      <c r="B6" s="11" t="s">
        <v>106</v>
      </c>
      <c r="C6" s="12">
        <v>0</v>
      </c>
      <c r="D6" s="12">
        <v>3</v>
      </c>
      <c r="E6" s="18">
        <f t="shared" si="0"/>
        <v>0</v>
      </c>
      <c r="F6" s="11" t="s">
        <v>107</v>
      </c>
    </row>
    <row r="7" spans="1:6" ht="15" thickBot="1">
      <c r="A7" s="11" t="s">
        <v>105</v>
      </c>
      <c r="B7" s="11" t="s">
        <v>108</v>
      </c>
      <c r="C7" s="12">
        <v>1</v>
      </c>
      <c r="D7" s="12">
        <v>3</v>
      </c>
      <c r="E7" s="18">
        <f t="shared" si="0"/>
        <v>3</v>
      </c>
      <c r="F7" s="11" t="s">
        <v>109</v>
      </c>
    </row>
    <row r="8" spans="1:6" ht="15" thickBot="1">
      <c r="A8" s="11" t="s">
        <v>105</v>
      </c>
      <c r="B8" s="11" t="s">
        <v>110</v>
      </c>
      <c r="C8" s="12">
        <v>2</v>
      </c>
      <c r="D8" s="12">
        <v>3</v>
      </c>
      <c r="E8" s="18">
        <f t="shared" si="0"/>
        <v>6</v>
      </c>
      <c r="F8" s="11" t="s">
        <v>111</v>
      </c>
    </row>
    <row r="9" spans="1:6" ht="15" thickBot="1">
      <c r="A9" s="11" t="s">
        <v>105</v>
      </c>
      <c r="B9" s="11" t="s">
        <v>112</v>
      </c>
      <c r="C9" s="12">
        <v>3</v>
      </c>
      <c r="D9" s="12">
        <v>3</v>
      </c>
      <c r="E9" s="18">
        <f t="shared" si="0"/>
        <v>9</v>
      </c>
      <c r="F9" s="11" t="s">
        <v>113</v>
      </c>
    </row>
    <row r="10" spans="1:6" ht="15" thickBot="1">
      <c r="A10" s="11" t="s">
        <v>114</v>
      </c>
      <c r="B10" s="11" t="s">
        <v>115</v>
      </c>
      <c r="C10" s="12">
        <v>0</v>
      </c>
      <c r="D10" s="12">
        <v>2</v>
      </c>
      <c r="E10" s="18">
        <f t="shared" si="0"/>
        <v>0</v>
      </c>
      <c r="F10" s="11" t="s">
        <v>116</v>
      </c>
    </row>
    <row r="11" spans="1:6" ht="15" thickBot="1">
      <c r="A11" s="11" t="s">
        <v>114</v>
      </c>
      <c r="B11" s="11" t="s">
        <v>117</v>
      </c>
      <c r="C11" s="12">
        <v>1</v>
      </c>
      <c r="D11" s="12">
        <v>2</v>
      </c>
      <c r="E11" s="18">
        <f t="shared" si="0"/>
        <v>2</v>
      </c>
      <c r="F11" s="11" t="s">
        <v>118</v>
      </c>
    </row>
    <row r="12" spans="1:6" ht="15" thickBot="1">
      <c r="A12" s="11" t="s">
        <v>114</v>
      </c>
      <c r="B12" s="11" t="s">
        <v>119</v>
      </c>
      <c r="C12" s="12">
        <v>2</v>
      </c>
      <c r="D12" s="12">
        <v>2</v>
      </c>
      <c r="E12" s="18">
        <f t="shared" si="0"/>
        <v>4</v>
      </c>
      <c r="F12" s="11" t="s">
        <v>120</v>
      </c>
    </row>
    <row r="13" spans="1:6" ht="15" thickBot="1">
      <c r="A13" s="11" t="s">
        <v>114</v>
      </c>
      <c r="B13" s="11" t="s">
        <v>121</v>
      </c>
      <c r="C13" s="12">
        <v>3</v>
      </c>
      <c r="D13" s="12">
        <v>2</v>
      </c>
      <c r="E13" s="18">
        <f t="shared" si="0"/>
        <v>6</v>
      </c>
      <c r="F13" s="11" t="s">
        <v>122</v>
      </c>
    </row>
    <row r="14" spans="1:6" ht="15" thickBot="1">
      <c r="A14" s="11" t="s">
        <v>123</v>
      </c>
      <c r="B14" s="11" t="s">
        <v>124</v>
      </c>
      <c r="C14" s="12">
        <v>0</v>
      </c>
      <c r="D14" s="12">
        <v>2</v>
      </c>
      <c r="E14" s="18">
        <f t="shared" si="0"/>
        <v>0</v>
      </c>
      <c r="F14" s="11" t="s">
        <v>116</v>
      </c>
    </row>
    <row r="15" spans="1:6" ht="15" thickBot="1">
      <c r="A15" s="11" t="s">
        <v>123</v>
      </c>
      <c r="B15" s="11" t="s">
        <v>125</v>
      </c>
      <c r="C15" s="12">
        <v>1</v>
      </c>
      <c r="D15" s="12">
        <v>2</v>
      </c>
      <c r="E15" s="18">
        <f t="shared" si="0"/>
        <v>2</v>
      </c>
      <c r="F15" s="11" t="s">
        <v>126</v>
      </c>
    </row>
    <row r="16" spans="1:6" ht="15" thickBot="1">
      <c r="A16" s="11" t="s">
        <v>123</v>
      </c>
      <c r="B16" s="11" t="s">
        <v>127</v>
      </c>
      <c r="C16" s="12">
        <v>2</v>
      </c>
      <c r="D16" s="12">
        <v>2</v>
      </c>
      <c r="E16" s="18">
        <f t="shared" si="0"/>
        <v>4</v>
      </c>
      <c r="F16" s="11" t="s">
        <v>128</v>
      </c>
    </row>
    <row r="17" spans="1:8" ht="15" thickBot="1">
      <c r="A17" s="11" t="s">
        <v>123</v>
      </c>
      <c r="B17" s="11" t="s">
        <v>129</v>
      </c>
      <c r="C17" s="12">
        <v>3</v>
      </c>
      <c r="D17" s="12">
        <v>2</v>
      </c>
      <c r="E17" s="18">
        <f t="shared" si="0"/>
        <v>6</v>
      </c>
      <c r="F17" s="11" t="s">
        <v>130</v>
      </c>
    </row>
    <row r="18" spans="1:8" ht="15" thickBot="1">
      <c r="A18" s="11" t="s">
        <v>131</v>
      </c>
      <c r="B18" s="11" t="s">
        <v>132</v>
      </c>
      <c r="C18" s="12">
        <v>0</v>
      </c>
      <c r="D18" s="12">
        <v>3</v>
      </c>
      <c r="E18" s="18">
        <f t="shared" si="0"/>
        <v>0</v>
      </c>
      <c r="F18" s="11" t="s">
        <v>116</v>
      </c>
    </row>
    <row r="19" spans="1:8" ht="15" thickBot="1">
      <c r="A19" s="11" t="s">
        <v>131</v>
      </c>
      <c r="B19" s="11" t="s">
        <v>133</v>
      </c>
      <c r="C19" s="12">
        <v>1</v>
      </c>
      <c r="D19" s="12">
        <v>3</v>
      </c>
      <c r="E19" s="18">
        <f t="shared" si="0"/>
        <v>3</v>
      </c>
      <c r="F19" s="11" t="s">
        <v>134</v>
      </c>
    </row>
    <row r="20" spans="1:8" ht="15" thickBot="1">
      <c r="A20" s="11" t="s">
        <v>131</v>
      </c>
      <c r="B20" s="11" t="s">
        <v>135</v>
      </c>
      <c r="C20" s="12">
        <v>2</v>
      </c>
      <c r="D20" s="12">
        <v>3</v>
      </c>
      <c r="E20" s="18">
        <f t="shared" si="0"/>
        <v>6</v>
      </c>
      <c r="F20" s="11" t="s">
        <v>136</v>
      </c>
    </row>
    <row r="21" spans="1:8" ht="15" thickBot="1">
      <c r="A21" s="11" t="s">
        <v>131</v>
      </c>
      <c r="B21" s="11" t="s">
        <v>137</v>
      </c>
      <c r="C21" s="12">
        <v>3</v>
      </c>
      <c r="D21" s="12">
        <v>3</v>
      </c>
      <c r="E21" s="18">
        <f t="shared" si="0"/>
        <v>9</v>
      </c>
      <c r="F21" s="11" t="s">
        <v>130</v>
      </c>
    </row>
    <row r="22" spans="1:8" ht="15" thickBot="1">
      <c r="A22" s="11" t="s">
        <v>138</v>
      </c>
      <c r="B22" s="11" t="s">
        <v>132</v>
      </c>
      <c r="C22" s="12">
        <v>0</v>
      </c>
      <c r="D22" s="12">
        <v>3</v>
      </c>
      <c r="E22" s="18">
        <f t="shared" si="0"/>
        <v>0</v>
      </c>
      <c r="F22" s="11" t="s">
        <v>116</v>
      </c>
    </row>
    <row r="23" spans="1:8" ht="16.5" thickBot="1">
      <c r="A23" s="11" t="s">
        <v>138</v>
      </c>
      <c r="B23" s="11" t="s">
        <v>139</v>
      </c>
      <c r="C23" s="12">
        <v>1</v>
      </c>
      <c r="D23" s="12">
        <v>3</v>
      </c>
      <c r="E23" s="18">
        <f t="shared" si="0"/>
        <v>3</v>
      </c>
      <c r="F23" s="11" t="s">
        <v>134</v>
      </c>
      <c r="H23" s="17"/>
    </row>
    <row r="24" spans="1:8" ht="15" thickBot="1">
      <c r="A24" s="11" t="s">
        <v>138</v>
      </c>
      <c r="B24" s="11" t="s">
        <v>140</v>
      </c>
      <c r="C24" s="12">
        <v>2</v>
      </c>
      <c r="D24" s="12">
        <v>3</v>
      </c>
      <c r="E24" s="18">
        <f t="shared" si="0"/>
        <v>6</v>
      </c>
      <c r="F24" s="11" t="s">
        <v>136</v>
      </c>
    </row>
    <row r="25" spans="1:8" ht="15" thickBot="1">
      <c r="A25" s="11" t="s">
        <v>138</v>
      </c>
      <c r="B25" s="11" t="s">
        <v>141</v>
      </c>
      <c r="C25" s="12">
        <v>3</v>
      </c>
      <c r="D25" s="12">
        <v>3</v>
      </c>
      <c r="E25" s="18">
        <f t="shared" si="0"/>
        <v>9</v>
      </c>
      <c r="F25" s="11" t="s">
        <v>130</v>
      </c>
    </row>
    <row r="26" spans="1:8" ht="15" thickBot="1">
      <c r="A26" s="11" t="s">
        <v>142</v>
      </c>
      <c r="B26" s="11" t="s">
        <v>132</v>
      </c>
      <c r="C26" s="12">
        <v>0</v>
      </c>
      <c r="D26" s="12">
        <v>3</v>
      </c>
      <c r="E26" s="18">
        <f t="shared" si="0"/>
        <v>0</v>
      </c>
      <c r="F26" s="11" t="s">
        <v>116</v>
      </c>
    </row>
    <row r="27" spans="1:8" ht="15" thickBot="1">
      <c r="A27" s="11" t="s">
        <v>142</v>
      </c>
      <c r="B27" s="11" t="s">
        <v>143</v>
      </c>
      <c r="C27" s="12">
        <v>1</v>
      </c>
      <c r="D27" s="12">
        <v>3</v>
      </c>
      <c r="E27" s="18">
        <f t="shared" si="0"/>
        <v>3</v>
      </c>
      <c r="F27" s="11" t="s">
        <v>134</v>
      </c>
    </row>
    <row r="28" spans="1:8" ht="15" thickBot="1">
      <c r="A28" s="11" t="s">
        <v>142</v>
      </c>
      <c r="B28" s="11" t="s">
        <v>144</v>
      </c>
      <c r="C28" s="12">
        <v>2</v>
      </c>
      <c r="D28" s="12">
        <v>3</v>
      </c>
      <c r="E28" s="18">
        <f t="shared" si="0"/>
        <v>6</v>
      </c>
      <c r="F28" s="11" t="s">
        <v>136</v>
      </c>
    </row>
    <row r="29" spans="1:8" ht="15" thickBot="1">
      <c r="A29" s="11" t="s">
        <v>142</v>
      </c>
      <c r="B29" s="11" t="s">
        <v>145</v>
      </c>
      <c r="C29" s="12">
        <v>3</v>
      </c>
      <c r="D29" s="12">
        <v>3</v>
      </c>
      <c r="E29" s="18">
        <f t="shared" si="0"/>
        <v>9</v>
      </c>
      <c r="F29" s="11" t="s">
        <v>130</v>
      </c>
    </row>
    <row r="30" spans="1:8" ht="15" thickBot="1">
      <c r="A30" s="11" t="s">
        <v>146</v>
      </c>
      <c r="B30" s="11" t="s">
        <v>132</v>
      </c>
      <c r="C30" s="12">
        <v>0</v>
      </c>
      <c r="D30" s="12">
        <v>2</v>
      </c>
      <c r="E30" s="18">
        <f t="shared" si="0"/>
        <v>0</v>
      </c>
      <c r="F30" s="11" t="s">
        <v>116</v>
      </c>
    </row>
    <row r="31" spans="1:8" ht="15" thickBot="1">
      <c r="A31" s="11" t="s">
        <v>146</v>
      </c>
      <c r="B31" s="11" t="s">
        <v>147</v>
      </c>
      <c r="C31" s="12">
        <v>1</v>
      </c>
      <c r="D31" s="12">
        <v>2</v>
      </c>
      <c r="E31" s="18">
        <f t="shared" si="0"/>
        <v>2</v>
      </c>
      <c r="F31" s="11" t="s">
        <v>148</v>
      </c>
    </row>
    <row r="32" spans="1:8" ht="15" thickBot="1">
      <c r="A32" s="11" t="s">
        <v>146</v>
      </c>
      <c r="B32" s="11" t="s">
        <v>149</v>
      </c>
      <c r="C32" s="12">
        <v>2</v>
      </c>
      <c r="D32" s="12">
        <v>2</v>
      </c>
      <c r="E32" s="18">
        <f t="shared" si="0"/>
        <v>4</v>
      </c>
      <c r="F32" s="11" t="s">
        <v>136</v>
      </c>
    </row>
    <row r="33" spans="1:6" ht="15" thickBot="1">
      <c r="A33" s="11" t="s">
        <v>146</v>
      </c>
      <c r="B33" s="11" t="s">
        <v>150</v>
      </c>
      <c r="C33" s="12">
        <v>3</v>
      </c>
      <c r="D33" s="12">
        <v>2</v>
      </c>
      <c r="E33" s="18">
        <f t="shared" si="0"/>
        <v>6</v>
      </c>
      <c r="F33" s="11" t="s">
        <v>130</v>
      </c>
    </row>
    <row r="34" spans="1:6" ht="15" thickBot="1">
      <c r="A34" s="11" t="s">
        <v>151</v>
      </c>
      <c r="B34" s="11" t="s">
        <v>132</v>
      </c>
      <c r="C34" s="12">
        <v>0</v>
      </c>
      <c r="D34" s="12">
        <v>3</v>
      </c>
      <c r="E34" s="18">
        <f t="shared" si="0"/>
        <v>0</v>
      </c>
      <c r="F34" s="11" t="s">
        <v>116</v>
      </c>
    </row>
    <row r="35" spans="1:6" ht="15" thickBot="1">
      <c r="A35" s="11" t="s">
        <v>151</v>
      </c>
      <c r="B35" s="11" t="s">
        <v>152</v>
      </c>
      <c r="C35" s="12">
        <v>1</v>
      </c>
      <c r="D35" s="12">
        <v>3</v>
      </c>
      <c r="E35" s="18">
        <f t="shared" si="0"/>
        <v>3</v>
      </c>
      <c r="F35" s="11" t="s">
        <v>134</v>
      </c>
    </row>
    <row r="36" spans="1:6" ht="15" thickBot="1">
      <c r="A36" s="11" t="s">
        <v>151</v>
      </c>
      <c r="B36" s="11" t="s">
        <v>153</v>
      </c>
      <c r="C36" s="12">
        <v>2</v>
      </c>
      <c r="D36" s="12">
        <v>3</v>
      </c>
      <c r="E36" s="18">
        <f t="shared" si="0"/>
        <v>6</v>
      </c>
      <c r="F36" s="11" t="s">
        <v>136</v>
      </c>
    </row>
    <row r="37" spans="1:6" ht="15" thickBot="1">
      <c r="A37" s="11" t="s">
        <v>151</v>
      </c>
      <c r="B37" s="11" t="s">
        <v>154</v>
      </c>
      <c r="C37" s="12">
        <v>3</v>
      </c>
      <c r="D37" s="12">
        <v>3</v>
      </c>
      <c r="E37" s="18">
        <f t="shared" si="0"/>
        <v>9</v>
      </c>
      <c r="F37" s="11" t="s">
        <v>130</v>
      </c>
    </row>
    <row r="38" spans="1:6" ht="15" thickBot="1">
      <c r="A38" s="11" t="s">
        <v>155</v>
      </c>
      <c r="B38" s="11" t="s">
        <v>132</v>
      </c>
      <c r="C38" s="12">
        <v>0</v>
      </c>
      <c r="D38" s="12">
        <v>2</v>
      </c>
      <c r="E38" s="18">
        <f t="shared" si="0"/>
        <v>0</v>
      </c>
      <c r="F38" s="11" t="s">
        <v>116</v>
      </c>
    </row>
    <row r="39" spans="1:6" ht="15" thickBot="1">
      <c r="A39" s="11" t="s">
        <v>155</v>
      </c>
      <c r="B39" s="11" t="s">
        <v>156</v>
      </c>
      <c r="C39" s="12">
        <v>1</v>
      </c>
      <c r="D39" s="12">
        <v>2</v>
      </c>
      <c r="E39" s="18">
        <f t="shared" si="0"/>
        <v>2</v>
      </c>
      <c r="F39" s="11" t="s">
        <v>134</v>
      </c>
    </row>
    <row r="40" spans="1:6" ht="15" thickBot="1">
      <c r="A40" s="11" t="s">
        <v>155</v>
      </c>
      <c r="B40" s="11" t="s">
        <v>157</v>
      </c>
      <c r="C40" s="12">
        <v>2</v>
      </c>
      <c r="D40" s="12">
        <v>2</v>
      </c>
      <c r="E40" s="18">
        <f t="shared" si="0"/>
        <v>4</v>
      </c>
      <c r="F40" s="11" t="s">
        <v>136</v>
      </c>
    </row>
    <row r="41" spans="1:6" ht="15" thickBot="1">
      <c r="A41" s="11" t="s">
        <v>155</v>
      </c>
      <c r="B41" s="11" t="s">
        <v>158</v>
      </c>
      <c r="C41" s="12">
        <v>3</v>
      </c>
      <c r="D41" s="12">
        <v>2</v>
      </c>
      <c r="E41" s="18">
        <f t="shared" si="0"/>
        <v>6</v>
      </c>
      <c r="F41" s="11" t="s">
        <v>130</v>
      </c>
    </row>
    <row r="42" spans="1:6" ht="15" thickBot="1">
      <c r="A42" s="11" t="s">
        <v>159</v>
      </c>
      <c r="B42" s="11" t="s">
        <v>160</v>
      </c>
      <c r="C42" s="12">
        <v>0</v>
      </c>
      <c r="D42" s="12">
        <v>1</v>
      </c>
      <c r="E42" s="18">
        <f t="shared" si="0"/>
        <v>0</v>
      </c>
      <c r="F42" s="11" t="s">
        <v>161</v>
      </c>
    </row>
    <row r="43" spans="1:6" ht="15" thickBot="1">
      <c r="A43" s="11" t="s">
        <v>159</v>
      </c>
      <c r="B43" s="11" t="s">
        <v>162</v>
      </c>
      <c r="C43" s="12">
        <v>1</v>
      </c>
      <c r="D43" s="12">
        <v>1</v>
      </c>
      <c r="E43" s="18">
        <f t="shared" si="0"/>
        <v>1</v>
      </c>
      <c r="F43" s="11" t="s">
        <v>163</v>
      </c>
    </row>
    <row r="44" spans="1:6" ht="15" thickBot="1">
      <c r="A44" s="11" t="s">
        <v>159</v>
      </c>
      <c r="B44" s="11" t="s">
        <v>164</v>
      </c>
      <c r="C44" s="12">
        <v>2</v>
      </c>
      <c r="D44" s="12">
        <v>1</v>
      </c>
      <c r="E44" s="18">
        <f t="shared" si="0"/>
        <v>2</v>
      </c>
      <c r="F44" s="11" t="s">
        <v>165</v>
      </c>
    </row>
    <row r="45" spans="1:6" ht="15" thickBot="1">
      <c r="A45" s="11" t="s">
        <v>159</v>
      </c>
      <c r="B45" s="11" t="s">
        <v>166</v>
      </c>
      <c r="C45" s="12">
        <v>3</v>
      </c>
      <c r="D45" s="12">
        <v>1</v>
      </c>
      <c r="E45" s="18">
        <f t="shared" si="0"/>
        <v>3</v>
      </c>
      <c r="F45" s="11" t="s">
        <v>167</v>
      </c>
    </row>
    <row r="46" spans="1:6" ht="15" thickBot="1">
      <c r="A46" s="11" t="s">
        <v>168</v>
      </c>
      <c r="B46" s="11" t="s">
        <v>169</v>
      </c>
      <c r="C46" s="12">
        <v>0</v>
      </c>
      <c r="D46" s="12">
        <v>2</v>
      </c>
      <c r="E46" s="18">
        <f t="shared" si="0"/>
        <v>0</v>
      </c>
      <c r="F46" s="11" t="s">
        <v>116</v>
      </c>
    </row>
    <row r="47" spans="1:6" ht="15" thickBot="1">
      <c r="A47" s="11" t="s">
        <v>168</v>
      </c>
      <c r="B47" s="11" t="s">
        <v>170</v>
      </c>
      <c r="C47" s="12">
        <v>1</v>
      </c>
      <c r="D47" s="12">
        <v>2</v>
      </c>
      <c r="E47" s="18">
        <f t="shared" si="0"/>
        <v>2</v>
      </c>
      <c r="F47" s="11" t="s">
        <v>148</v>
      </c>
    </row>
    <row r="48" spans="1:6" ht="15" thickBot="1">
      <c r="A48" s="11" t="s">
        <v>168</v>
      </c>
      <c r="B48" s="11" t="s">
        <v>171</v>
      </c>
      <c r="C48" s="12">
        <v>2</v>
      </c>
      <c r="D48" s="12">
        <v>2</v>
      </c>
      <c r="E48" s="18">
        <f t="shared" si="0"/>
        <v>4</v>
      </c>
      <c r="F48" s="11" t="s">
        <v>120</v>
      </c>
    </row>
    <row r="49" spans="1:6" ht="15" thickBot="1">
      <c r="A49" s="11" t="s">
        <v>168</v>
      </c>
      <c r="B49" s="11" t="s">
        <v>172</v>
      </c>
      <c r="C49" s="12">
        <v>3</v>
      </c>
      <c r="D49" s="12">
        <v>2</v>
      </c>
      <c r="E49" s="18">
        <f t="shared" si="0"/>
        <v>6</v>
      </c>
      <c r="F49" s="11" t="s">
        <v>130</v>
      </c>
    </row>
    <row r="50" spans="1:6" ht="15" thickBot="1">
      <c r="A50" s="11" t="s">
        <v>173</v>
      </c>
      <c r="B50" s="11" t="s">
        <v>132</v>
      </c>
      <c r="C50" s="12">
        <v>0</v>
      </c>
      <c r="D50" s="12">
        <v>3</v>
      </c>
      <c r="E50" s="18">
        <f t="shared" si="0"/>
        <v>0</v>
      </c>
      <c r="F50" s="11" t="s">
        <v>116</v>
      </c>
    </row>
    <row r="51" spans="1:6" ht="15" thickBot="1">
      <c r="A51" s="11" t="s">
        <v>173</v>
      </c>
      <c r="B51" s="11" t="s">
        <v>174</v>
      </c>
      <c r="C51" s="12">
        <v>1</v>
      </c>
      <c r="D51" s="12">
        <v>3</v>
      </c>
      <c r="E51" s="18">
        <f t="shared" si="0"/>
        <v>3</v>
      </c>
      <c r="F51" s="11" t="s">
        <v>134</v>
      </c>
    </row>
    <row r="52" spans="1:6" ht="15" thickBot="1">
      <c r="A52" s="11" t="s">
        <v>173</v>
      </c>
      <c r="B52" s="11" t="s">
        <v>175</v>
      </c>
      <c r="C52" s="12">
        <v>2</v>
      </c>
      <c r="D52" s="12">
        <v>3</v>
      </c>
      <c r="E52" s="18">
        <f t="shared" si="0"/>
        <v>6</v>
      </c>
      <c r="F52" s="11" t="s">
        <v>136</v>
      </c>
    </row>
    <row r="53" spans="1:6" ht="15" thickBot="1">
      <c r="A53" s="11" t="s">
        <v>173</v>
      </c>
      <c r="B53" s="11" t="s">
        <v>176</v>
      </c>
      <c r="C53" s="12">
        <v>3</v>
      </c>
      <c r="D53" s="12">
        <v>3</v>
      </c>
      <c r="E53" s="18">
        <f t="shared" si="0"/>
        <v>9</v>
      </c>
      <c r="F53" s="11" t="s">
        <v>130</v>
      </c>
    </row>
    <row r="54" spans="1:6" ht="15" thickBot="1">
      <c r="A54" s="11" t="s">
        <v>177</v>
      </c>
      <c r="B54" s="11" t="s">
        <v>178</v>
      </c>
      <c r="C54" s="12">
        <v>0</v>
      </c>
      <c r="D54" s="12">
        <v>1</v>
      </c>
      <c r="E54" s="18">
        <f t="shared" si="0"/>
        <v>0</v>
      </c>
      <c r="F54" s="11" t="s">
        <v>116</v>
      </c>
    </row>
    <row r="55" spans="1:6" ht="15" thickBot="1">
      <c r="A55" s="11" t="s">
        <v>177</v>
      </c>
      <c r="B55" s="11" t="s">
        <v>179</v>
      </c>
      <c r="C55" s="12">
        <v>1</v>
      </c>
      <c r="D55" s="12">
        <v>1</v>
      </c>
      <c r="E55" s="18">
        <f t="shared" si="0"/>
        <v>1</v>
      </c>
      <c r="F55" s="11" t="s">
        <v>134</v>
      </c>
    </row>
    <row r="56" spans="1:6" ht="15" thickBot="1">
      <c r="A56" s="11" t="s">
        <v>177</v>
      </c>
      <c r="B56" s="11" t="s">
        <v>180</v>
      </c>
      <c r="C56" s="12">
        <v>2</v>
      </c>
      <c r="D56" s="12">
        <v>1</v>
      </c>
      <c r="E56" s="18">
        <f t="shared" si="0"/>
        <v>2</v>
      </c>
      <c r="F56" s="11" t="s">
        <v>136</v>
      </c>
    </row>
    <row r="57" spans="1:6" ht="15" thickBot="1">
      <c r="A57" s="11" t="s">
        <v>177</v>
      </c>
      <c r="B57" s="11" t="s">
        <v>181</v>
      </c>
      <c r="C57" s="12">
        <v>3</v>
      </c>
      <c r="D57" s="12">
        <v>1</v>
      </c>
      <c r="E57" s="18">
        <f t="shared" si="0"/>
        <v>3</v>
      </c>
      <c r="F57" s="11" t="s">
        <v>130</v>
      </c>
    </row>
    <row r="58" spans="1:6" ht="15" thickBot="1">
      <c r="A58" s="11" t="s">
        <v>182</v>
      </c>
      <c r="B58" s="11" t="s">
        <v>183</v>
      </c>
      <c r="C58" s="12">
        <v>0</v>
      </c>
      <c r="D58" s="12">
        <v>1</v>
      </c>
      <c r="E58" s="18">
        <f t="shared" si="0"/>
        <v>0</v>
      </c>
      <c r="F58" s="11" t="s">
        <v>116</v>
      </c>
    </row>
    <row r="59" spans="1:6" ht="15" thickBot="1">
      <c r="A59" s="11" t="s">
        <v>182</v>
      </c>
      <c r="B59" s="11" t="s">
        <v>184</v>
      </c>
      <c r="C59" s="12">
        <v>1</v>
      </c>
      <c r="D59" s="12">
        <v>1</v>
      </c>
      <c r="E59" s="18">
        <f t="shared" si="0"/>
        <v>1</v>
      </c>
      <c r="F59" s="11" t="s">
        <v>134</v>
      </c>
    </row>
    <row r="60" spans="1:6" ht="15" thickBot="1">
      <c r="A60" s="11" t="s">
        <v>182</v>
      </c>
      <c r="B60" s="11" t="s">
        <v>185</v>
      </c>
      <c r="C60" s="12">
        <v>2</v>
      </c>
      <c r="D60" s="12">
        <v>1</v>
      </c>
      <c r="E60" s="18">
        <f t="shared" si="0"/>
        <v>2</v>
      </c>
      <c r="F60" s="11" t="s">
        <v>136</v>
      </c>
    </row>
    <row r="61" spans="1:6" ht="15" thickBot="1">
      <c r="A61" s="11" t="s">
        <v>182</v>
      </c>
      <c r="B61" s="11" t="s">
        <v>186</v>
      </c>
      <c r="C61" s="12">
        <v>3</v>
      </c>
      <c r="D61" s="12">
        <v>1</v>
      </c>
      <c r="E61" s="18">
        <f t="shared" si="0"/>
        <v>3</v>
      </c>
      <c r="F61" s="11" t="s">
        <v>130</v>
      </c>
    </row>
    <row r="62" spans="1:6" ht="15" thickBot="1">
      <c r="A62" s="11" t="s">
        <v>187</v>
      </c>
      <c r="B62" s="11" t="s">
        <v>188</v>
      </c>
      <c r="C62" s="12">
        <v>0</v>
      </c>
      <c r="D62" s="12">
        <v>1</v>
      </c>
      <c r="E62" s="18">
        <f t="shared" si="0"/>
        <v>0</v>
      </c>
      <c r="F62" s="11" t="s">
        <v>116</v>
      </c>
    </row>
    <row r="63" spans="1:6" ht="15" thickBot="1">
      <c r="A63" s="11" t="s">
        <v>187</v>
      </c>
      <c r="B63" s="11" t="s">
        <v>189</v>
      </c>
      <c r="C63" s="12">
        <v>1</v>
      </c>
      <c r="D63" s="12">
        <v>1</v>
      </c>
      <c r="E63" s="18">
        <f t="shared" si="0"/>
        <v>1</v>
      </c>
      <c r="F63" s="11" t="s">
        <v>134</v>
      </c>
    </row>
    <row r="64" spans="1:6" ht="15" thickBot="1">
      <c r="A64" s="11" t="s">
        <v>187</v>
      </c>
      <c r="B64" s="11" t="s">
        <v>190</v>
      </c>
      <c r="C64" s="12">
        <v>2</v>
      </c>
      <c r="D64" s="12">
        <v>1</v>
      </c>
      <c r="E64" s="18">
        <f t="shared" si="0"/>
        <v>2</v>
      </c>
      <c r="F64" s="11" t="s">
        <v>136</v>
      </c>
    </row>
    <row r="65" spans="1:6" ht="15" thickBot="1">
      <c r="A65" s="11" t="s">
        <v>187</v>
      </c>
      <c r="B65" s="11" t="s">
        <v>191</v>
      </c>
      <c r="C65" s="12">
        <v>3</v>
      </c>
      <c r="D65" s="12">
        <v>1</v>
      </c>
      <c r="E65" s="18">
        <f t="shared" si="0"/>
        <v>3</v>
      </c>
      <c r="F65" s="11" t="s">
        <v>130</v>
      </c>
    </row>
    <row r="66" spans="1:6" ht="15" thickBot="1">
      <c r="A66" s="11" t="s">
        <v>192</v>
      </c>
      <c r="B66" s="11" t="s">
        <v>193</v>
      </c>
      <c r="C66" s="12">
        <v>0</v>
      </c>
      <c r="D66" s="12">
        <v>2</v>
      </c>
      <c r="E66" s="18">
        <f t="shared" si="0"/>
        <v>0</v>
      </c>
      <c r="F66" s="11" t="s">
        <v>116</v>
      </c>
    </row>
    <row r="67" spans="1:6" ht="15" thickBot="1">
      <c r="A67" s="11" t="s">
        <v>192</v>
      </c>
      <c r="B67" s="11" t="s">
        <v>194</v>
      </c>
      <c r="C67" s="12">
        <v>1</v>
      </c>
      <c r="D67" s="12">
        <v>2</v>
      </c>
      <c r="E67" s="18">
        <f t="shared" ref="E67:E77" si="1">C67*D67</f>
        <v>2</v>
      </c>
      <c r="F67" s="11" t="s">
        <v>148</v>
      </c>
    </row>
    <row r="68" spans="1:6" ht="15" thickBot="1">
      <c r="A68" s="11" t="s">
        <v>192</v>
      </c>
      <c r="B68" s="11" t="s">
        <v>195</v>
      </c>
      <c r="C68" s="12">
        <v>2</v>
      </c>
      <c r="D68" s="12">
        <v>2</v>
      </c>
      <c r="E68" s="18">
        <f t="shared" si="1"/>
        <v>4</v>
      </c>
      <c r="F68" s="11" t="s">
        <v>196</v>
      </c>
    </row>
    <row r="69" spans="1:6" ht="15" thickBot="1">
      <c r="A69" s="11" t="s">
        <v>192</v>
      </c>
      <c r="B69" s="11" t="s">
        <v>197</v>
      </c>
      <c r="C69" s="12">
        <v>3</v>
      </c>
      <c r="D69" s="12">
        <v>2</v>
      </c>
      <c r="E69" s="18">
        <f t="shared" si="1"/>
        <v>6</v>
      </c>
      <c r="F69" s="11" t="s">
        <v>130</v>
      </c>
    </row>
    <row r="70" spans="1:6" ht="15" thickBot="1">
      <c r="A70" s="11" t="s">
        <v>198</v>
      </c>
      <c r="B70" s="11" t="s">
        <v>199</v>
      </c>
      <c r="C70" s="12">
        <v>0</v>
      </c>
      <c r="D70" s="12">
        <v>2</v>
      </c>
      <c r="E70" s="18">
        <f t="shared" si="1"/>
        <v>0</v>
      </c>
      <c r="F70" s="11" t="s">
        <v>116</v>
      </c>
    </row>
    <row r="71" spans="1:6" ht="15" thickBot="1">
      <c r="A71" s="11" t="s">
        <v>198</v>
      </c>
      <c r="B71" s="11" t="s">
        <v>200</v>
      </c>
      <c r="C71" s="12">
        <v>1</v>
      </c>
      <c r="D71" s="12">
        <v>2</v>
      </c>
      <c r="E71" s="18">
        <f t="shared" si="1"/>
        <v>2</v>
      </c>
      <c r="F71" s="11" t="s">
        <v>201</v>
      </c>
    </row>
    <row r="72" spans="1:6" ht="15" thickBot="1">
      <c r="A72" s="11" t="s">
        <v>198</v>
      </c>
      <c r="B72" s="11" t="s">
        <v>202</v>
      </c>
      <c r="C72" s="12">
        <v>2</v>
      </c>
      <c r="D72" s="12">
        <v>2</v>
      </c>
      <c r="E72" s="18">
        <f t="shared" si="1"/>
        <v>4</v>
      </c>
      <c r="F72" s="11" t="s">
        <v>203</v>
      </c>
    </row>
    <row r="73" spans="1:6" ht="15" thickBot="1">
      <c r="A73" s="11" t="s">
        <v>198</v>
      </c>
      <c r="B73" s="11" t="s">
        <v>204</v>
      </c>
      <c r="C73" s="12">
        <v>3</v>
      </c>
      <c r="D73" s="12">
        <v>2</v>
      </c>
      <c r="E73" s="18">
        <f t="shared" si="1"/>
        <v>6</v>
      </c>
      <c r="F73" s="11" t="s">
        <v>205</v>
      </c>
    </row>
    <row r="74" spans="1:6" ht="15" thickBot="1">
      <c r="A74" s="11" t="s">
        <v>206</v>
      </c>
      <c r="B74" s="11" t="s">
        <v>207</v>
      </c>
      <c r="C74" s="12">
        <v>0</v>
      </c>
      <c r="D74" s="12">
        <v>2</v>
      </c>
      <c r="E74" s="18">
        <f t="shared" si="1"/>
        <v>0</v>
      </c>
      <c r="F74" s="11" t="s">
        <v>116</v>
      </c>
    </row>
    <row r="75" spans="1:6" ht="15" thickBot="1">
      <c r="A75" s="11" t="s">
        <v>206</v>
      </c>
      <c r="B75" s="11" t="s">
        <v>208</v>
      </c>
      <c r="C75" s="12">
        <v>1</v>
      </c>
      <c r="D75" s="12">
        <v>2</v>
      </c>
      <c r="E75" s="18">
        <f t="shared" si="1"/>
        <v>2</v>
      </c>
      <c r="F75" s="11" t="s">
        <v>209</v>
      </c>
    </row>
    <row r="76" spans="1:6" ht="15" thickBot="1">
      <c r="A76" s="11" t="s">
        <v>206</v>
      </c>
      <c r="B76" s="11" t="s">
        <v>210</v>
      </c>
      <c r="C76" s="12">
        <v>2</v>
      </c>
      <c r="D76" s="12">
        <v>2</v>
      </c>
      <c r="E76" s="18">
        <f t="shared" si="1"/>
        <v>4</v>
      </c>
      <c r="F76" s="11" t="s">
        <v>211</v>
      </c>
    </row>
    <row r="77" spans="1:6" ht="15" thickBot="1">
      <c r="A77" s="11" t="s">
        <v>206</v>
      </c>
      <c r="B77" s="11" t="s">
        <v>212</v>
      </c>
      <c r="C77" s="12">
        <v>3</v>
      </c>
      <c r="D77" s="12">
        <v>2</v>
      </c>
      <c r="E77" s="18">
        <f t="shared" si="1"/>
        <v>6</v>
      </c>
      <c r="F77" s="11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3C09-38F1-4128-97A8-C06F086353BD}">
  <dimension ref="A1:D14"/>
  <sheetViews>
    <sheetView zoomScale="70" zoomScaleNormal="70" workbookViewId="0">
      <selection activeCell="D24" sqref="D24"/>
    </sheetView>
  </sheetViews>
  <sheetFormatPr defaultRowHeight="14.45"/>
  <cols>
    <col min="1" max="1" width="21.42578125" bestFit="1" customWidth="1"/>
    <col min="2" max="2" width="15.85546875" customWidth="1"/>
    <col min="3" max="3" width="10.140625" bestFit="1" customWidth="1"/>
    <col min="4" max="4" width="69.7109375" bestFit="1" customWidth="1"/>
  </cols>
  <sheetData>
    <row r="1" spans="1:4" ht="15" thickBot="1">
      <c r="A1" s="10" t="s">
        <v>214</v>
      </c>
      <c r="B1" s="10" t="s">
        <v>215</v>
      </c>
      <c r="C1" s="10" t="s">
        <v>216</v>
      </c>
      <c r="D1" s="10" t="s">
        <v>217</v>
      </c>
    </row>
    <row r="2" spans="1:4" ht="15" thickBot="1">
      <c r="A2" s="11">
        <v>0</v>
      </c>
      <c r="B2" s="11">
        <v>10</v>
      </c>
      <c r="C2" s="11" t="s">
        <v>218</v>
      </c>
      <c r="D2" s="11" t="s">
        <v>219</v>
      </c>
    </row>
    <row r="3" spans="1:4" ht="15" thickBot="1">
      <c r="A3" s="11">
        <v>11</v>
      </c>
      <c r="B3" s="11">
        <v>22</v>
      </c>
      <c r="C3" s="11" t="s">
        <v>220</v>
      </c>
      <c r="D3" s="11" t="s">
        <v>221</v>
      </c>
    </row>
    <row r="4" spans="1:4" ht="15" thickBot="1">
      <c r="A4" s="11">
        <v>23</v>
      </c>
      <c r="B4" s="11">
        <v>36</v>
      </c>
      <c r="C4" s="11" t="s">
        <v>222</v>
      </c>
      <c r="D4" s="11" t="s">
        <v>223</v>
      </c>
    </row>
    <row r="5" spans="1:4" ht="15" thickBot="1">
      <c r="A5" s="11">
        <v>37</v>
      </c>
      <c r="B5" s="11" t="s">
        <v>224</v>
      </c>
      <c r="C5" s="11" t="s">
        <v>225</v>
      </c>
      <c r="D5" s="11" t="s">
        <v>226</v>
      </c>
    </row>
    <row r="8" spans="1:4">
      <c r="A8" s="19"/>
    </row>
    <row r="10" spans="1:4">
      <c r="A10" s="19"/>
    </row>
    <row r="12" spans="1:4">
      <c r="A12" s="19"/>
    </row>
    <row r="14" spans="1:4">
      <c r="A1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Kumar Yadav</dc:creator>
  <cp:keywords/>
  <dc:description/>
  <cp:lastModifiedBy>Syed Qurshid</cp:lastModifiedBy>
  <cp:revision/>
  <dcterms:created xsi:type="dcterms:W3CDTF">2026-07-19T02:24:33Z</dcterms:created>
  <dcterms:modified xsi:type="dcterms:W3CDTF">2026-07-26T17:09:15Z</dcterms:modified>
  <cp:category/>
  <cp:contentStatus/>
</cp:coreProperties>
</file>